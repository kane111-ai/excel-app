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グラフ用" sheetId="2" state="visible" r:id="rId4"/>
    <sheet name="書式用" sheetId="3" state="visible" r:id="rId5"/>
    <sheet name="ピボット用" sheetId="4" state="visible" r:id="rId6"/>
    <sheet name="データ整理用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<sst xmlns="http://schemas.openxmlformats.org/spreadsheetml/2006/main" count="360" uniqueCount="153">
  <si>
    <r>
      <rPr>
        <b val="true"/>
        <sz val="12"/>
        <color rgb="FF1B2430"/>
        <rFont val="Arial"/>
        <family val="0"/>
        <charset val="1"/>
      </rPr>
      <t xml:space="preserve">Office Master </t>
    </r>
    <r>
      <rPr>
        <b val="true"/>
        <sz val="12"/>
        <color rgb="FF1B2430"/>
        <rFont val="Noto Sans CJK SC"/>
        <family val="2"/>
      </rPr>
      <t xml:space="preserve">練習用データ</t>
    </r>
  </si>
  <si>
    <t xml:space="preserve">アプリ内の「関数トレーニング」の問題文で指定されたシートを使って練習してください。</t>
  </si>
  <si>
    <t xml:space="preserve">シート名</t>
  </si>
  <si>
    <t xml:space="preserve">使う練習カテゴリ</t>
  </si>
  <si>
    <t xml:space="preserve">グラフ用</t>
  </si>
  <si>
    <t xml:space="preserve">グラフ・可視化</t>
  </si>
  <si>
    <t xml:space="preserve">書式用</t>
  </si>
  <si>
    <t xml:space="preserve">書式・見た目</t>
  </si>
  <si>
    <t xml:space="preserve">ピボット用</t>
  </si>
  <si>
    <t xml:space="preserve">ピボット・集計</t>
  </si>
  <si>
    <t xml:space="preserve">データ整理用</t>
  </si>
  <si>
    <t xml:space="preserve">データ整理</t>
  </si>
  <si>
    <t xml:space="preserve">月別売上データ（部署別）</t>
  </si>
  <si>
    <r>
      <rPr>
        <i val="true"/>
        <sz val="9"/>
        <color rgb="FF5C7B91"/>
        <rFont val="Noto Sans CJK SC"/>
        <family val="2"/>
      </rPr>
      <t xml:space="preserve">単位：百万円。棒グラフ・積み上げ棒グラフ・スパークライン・</t>
    </r>
    <r>
      <rPr>
        <i val="true"/>
        <sz val="9"/>
        <color rgb="FF5C7B91"/>
        <rFont val="Arial"/>
        <family val="0"/>
        <charset val="1"/>
      </rPr>
      <t xml:space="preserve">2</t>
    </r>
    <r>
      <rPr>
        <i val="true"/>
        <sz val="9"/>
        <color rgb="FF5C7B91"/>
        <rFont val="Noto Sans CJK SC"/>
        <family val="2"/>
      </rPr>
      <t xml:space="preserve">軸グラフの練習に使用</t>
    </r>
  </si>
  <si>
    <t xml:space="preserve">月</t>
  </si>
  <si>
    <t xml:space="preserve">営業部</t>
  </si>
  <si>
    <t xml:space="preserve">製造部</t>
  </si>
  <si>
    <t xml:space="preserve">技術部</t>
  </si>
  <si>
    <t xml:space="preserve">総務部</t>
  </si>
  <si>
    <t xml:space="preserve">品質保証部</t>
  </si>
  <si>
    <t xml:space="preserve">合計</t>
  </si>
  <si>
    <r>
      <rPr>
        <b val="true"/>
        <sz val="10"/>
        <color rgb="FFFFFFFF"/>
        <rFont val="Noto Sans CJK SC"/>
        <family val="2"/>
      </rPr>
      <t xml:space="preserve">前年比</t>
    </r>
    <r>
      <rPr>
        <b val="true"/>
        <sz val="10"/>
        <color rgb="FFFFFFFF"/>
        <rFont val="Arial"/>
        <family val="0"/>
        <charset val="1"/>
      </rPr>
      <t xml:space="preserve">(%)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</si>
  <si>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月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</si>
  <si>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月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</si>
  <si>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月</t>
    </r>
  </si>
  <si>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月</t>
    </r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</si>
  <si>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月</t>
    </r>
  </si>
  <si>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月</t>
    </r>
  </si>
  <si>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月</t>
    </r>
  </si>
  <si>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月</t>
    </r>
  </si>
  <si>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月</t>
    </r>
  </si>
  <si>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月</t>
    </r>
  </si>
  <si>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月</t>
    </r>
  </si>
  <si>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月</t>
    </r>
  </si>
  <si>
    <t xml:space="preserve">製品別売上構成（円グラフ用）</t>
  </si>
  <si>
    <t xml:space="preserve">単位：百万円</t>
  </si>
  <si>
    <t xml:space="preserve">製品</t>
  </si>
  <si>
    <t xml:space="preserve">売上</t>
  </si>
  <si>
    <t xml:space="preserve">薄板</t>
  </si>
  <si>
    <t xml:space="preserve">厚板</t>
  </si>
  <si>
    <t xml:space="preserve">鋼管</t>
  </si>
  <si>
    <t xml:space="preserve">棒鋼</t>
  </si>
  <si>
    <t xml:space="preserve">線材</t>
  </si>
  <si>
    <t xml:space="preserve">営業利益の増減要因（ウォーターフォール用）</t>
  </si>
  <si>
    <t xml:space="preserve">項目</t>
  </si>
  <si>
    <t xml:space="preserve">金額</t>
  </si>
  <si>
    <t xml:space="preserve">期首営業利益（前期）</t>
  </si>
  <si>
    <t xml:space="preserve">数量要因</t>
  </si>
  <si>
    <t xml:space="preserve">価格要因</t>
  </si>
  <si>
    <t xml:space="preserve">原材料コスト要因</t>
  </si>
  <si>
    <t xml:space="preserve">固定費要因</t>
  </si>
  <si>
    <t xml:space="preserve">期末営業利益（当期）</t>
  </si>
  <si>
    <t xml:space="preserve">在庫・売上一覧（条件付き書式の練習用）</t>
  </si>
  <si>
    <t xml:space="preserve">前年比が赤字のセル、在庫数のデータバー、金額の万円表示などを練習</t>
  </si>
  <si>
    <t xml:space="preserve">在庫数</t>
  </si>
  <si>
    <t xml:space="preserve">金額（円）</t>
  </si>
  <si>
    <t xml:space="preserve">納品日</t>
  </si>
  <si>
    <t xml:space="preserve">2026-04-05</t>
  </si>
  <si>
    <t xml:space="preserve">2026-04-12</t>
  </si>
  <si>
    <t xml:space="preserve">2026-04-18</t>
  </si>
  <si>
    <t xml:space="preserve">2026-05-02</t>
  </si>
  <si>
    <t xml:space="preserve">2026-05-09</t>
  </si>
  <si>
    <t xml:space="preserve">形鋼</t>
  </si>
  <si>
    <t xml:space="preserve">2026-05-15</t>
  </si>
  <si>
    <t xml:space="preserve">めっき鋼板</t>
  </si>
  <si>
    <t xml:space="preserve">2026-05-22</t>
  </si>
  <si>
    <t xml:space="preserve">取引明細データ（ピボットテーブルの練習用）</t>
  </si>
  <si>
    <t xml:space="preserve">この表全体を選択してピボットテーブルを作成してください</t>
  </si>
  <si>
    <t xml:space="preserve">日付</t>
  </si>
  <si>
    <t xml:space="preserve">部署</t>
  </si>
  <si>
    <t xml:space="preserve">担当者</t>
  </si>
  <si>
    <t xml:space="preserve">商品</t>
  </si>
  <si>
    <t xml:space="preserve">売上高</t>
  </si>
  <si>
    <t xml:space="preserve">2026-06-04</t>
  </si>
  <si>
    <t xml:space="preserve">伊藤</t>
  </si>
  <si>
    <t xml:space="preserve">2026-04-24</t>
  </si>
  <si>
    <t xml:space="preserve">佐藤</t>
  </si>
  <si>
    <t xml:space="preserve">2026-04-01</t>
  </si>
  <si>
    <t xml:space="preserve">高橋</t>
  </si>
  <si>
    <t xml:space="preserve">2026-06-01</t>
  </si>
  <si>
    <t xml:space="preserve">2026-04-15</t>
  </si>
  <si>
    <t xml:space="preserve">2026-06-14</t>
  </si>
  <si>
    <t xml:space="preserve">2026-05-04</t>
  </si>
  <si>
    <t xml:space="preserve">山本</t>
  </si>
  <si>
    <t xml:space="preserve">2026-05-20</t>
  </si>
  <si>
    <t xml:space="preserve">田中</t>
  </si>
  <si>
    <t xml:space="preserve">2026-04-13</t>
  </si>
  <si>
    <t xml:space="preserve">2026-06-07</t>
  </si>
  <si>
    <t xml:space="preserve">2026-04-28</t>
  </si>
  <si>
    <t xml:space="preserve">2026-05-21</t>
  </si>
  <si>
    <t xml:space="preserve">鈴木</t>
  </si>
  <si>
    <t xml:space="preserve">2026-04-22</t>
  </si>
  <si>
    <t xml:space="preserve">2026-04-27</t>
  </si>
  <si>
    <t xml:space="preserve">渡辺</t>
  </si>
  <si>
    <t xml:space="preserve">2026-04-07</t>
  </si>
  <si>
    <t xml:space="preserve">2026-05-13</t>
  </si>
  <si>
    <t xml:space="preserve">2026-06-13</t>
  </si>
  <si>
    <t xml:space="preserve">2026-05-03</t>
  </si>
  <si>
    <t xml:space="preserve">2026-04-26</t>
  </si>
  <si>
    <t xml:space="preserve">2026-06-15</t>
  </si>
  <si>
    <t xml:space="preserve">2026-06-24</t>
  </si>
  <si>
    <t xml:space="preserve">2026-05-14</t>
  </si>
  <si>
    <t xml:space="preserve">中村</t>
  </si>
  <si>
    <t xml:space="preserve">2026-06-25</t>
  </si>
  <si>
    <t xml:space="preserve">2026-06-20</t>
  </si>
  <si>
    <t xml:space="preserve">2026-05-01</t>
  </si>
  <si>
    <t xml:space="preserve">2026-04-08</t>
  </si>
  <si>
    <t xml:space="preserve">2026-04-25</t>
  </si>
  <si>
    <t xml:space="preserve">2026-05-18</t>
  </si>
  <si>
    <t xml:space="preserve">2026-05-07</t>
  </si>
  <si>
    <t xml:space="preserve">2026-06-21</t>
  </si>
  <si>
    <t xml:space="preserve">2026-06-18</t>
  </si>
  <si>
    <t xml:space="preserve">2026-05-08</t>
  </si>
  <si>
    <t xml:space="preserve">2026-05-28</t>
  </si>
  <si>
    <t xml:space="preserve">2026-06-11</t>
  </si>
  <si>
    <t xml:space="preserve">2026-04-21</t>
  </si>
  <si>
    <t xml:space="preserve">2026-04-14</t>
  </si>
  <si>
    <t xml:space="preserve">2026-04-06</t>
  </si>
  <si>
    <t xml:space="preserve">2026-05-10</t>
  </si>
  <si>
    <t xml:space="preserve">2026-04-19</t>
  </si>
  <si>
    <t xml:space="preserve">2026-06-28</t>
  </si>
  <si>
    <t xml:space="preserve">2026-06-23</t>
  </si>
  <si>
    <t xml:space="preserve">2026-04-17</t>
  </si>
  <si>
    <t xml:space="preserve">取引先リスト（重複あり・整理前）</t>
  </si>
  <si>
    <t xml:space="preserve">重複の削除、氏名の分割、余分な空白の除去などを練習</t>
  </si>
  <si>
    <t xml:space="preserve">会社名</t>
  </si>
  <si>
    <t xml:space="preserve">担当者氏名</t>
  </si>
  <si>
    <t xml:space="preserve">メールアドレス</t>
  </si>
  <si>
    <t xml:space="preserve">所在地</t>
  </si>
  <si>
    <t xml:space="preserve">東北製鋼株式会社</t>
  </si>
  <si>
    <t xml:space="preserve">田中 太郎</t>
  </si>
  <si>
    <t xml:space="preserve">tanaka@tohoku-steel.example.com</t>
  </si>
  <si>
    <t xml:space="preserve">  東京都千代田区 </t>
  </si>
  <si>
    <t xml:space="preserve">関西メタルワークス</t>
  </si>
  <si>
    <t xml:space="preserve">佐藤 花子</t>
  </si>
  <si>
    <t xml:space="preserve">sato@kansai-metal.example.com</t>
  </si>
  <si>
    <t xml:space="preserve">大阪府大阪市</t>
  </si>
  <si>
    <t xml:space="preserve">九州スチール工業</t>
  </si>
  <si>
    <t xml:space="preserve">鈴木 一郎</t>
  </si>
  <si>
    <t xml:space="preserve">suzuki@kyushu-steel.example.com</t>
  </si>
  <si>
    <t xml:space="preserve">福岡県福岡市　</t>
  </si>
  <si>
    <t xml:space="preserve">中部素材商事</t>
  </si>
  <si>
    <t xml:space="preserve">高橋 次郎</t>
  </si>
  <si>
    <t xml:space="preserve"> takahashi@chubu-materials.example.com</t>
  </si>
  <si>
    <t xml:space="preserve">愛知県名古屋市</t>
  </si>
  <si>
    <t xml:space="preserve">北海道製鉄</t>
  </si>
  <si>
    <t xml:space="preserve">伊藤 三郎</t>
  </si>
  <si>
    <t xml:space="preserve">ito@hokkaido-steel.example.com </t>
  </si>
  <si>
    <t xml:space="preserve">北海道札幌市</t>
  </si>
  <si>
    <t xml:space="preserve">中国工業資材</t>
  </si>
  <si>
    <t xml:space="preserve">渡辺 四郎</t>
  </si>
  <si>
    <t xml:space="preserve">watanabe@chugoku-kogyo.example.com</t>
  </si>
  <si>
    <t xml:space="preserve">広島県広島市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</si>
</sst>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B2430"/>
      <name val="Arial"/>
      <family val="0"/>
      <charset val="1"/>
    </font>
    <font>
      <b val="true"/>
      <sz val="12"/>
      <color rgb="FF1B2430"/>
      <name val="Noto Sans CJK SC"/>
      <family val="2"/>
    </font>
    <font>
      <i val="true"/>
      <sz val="9"/>
      <color rgb="FF5C7B91"/>
      <name val="Noto Sans CJK SC"/>
      <family val="2"/>
    </font>
    <font>
      <b val="true"/>
      <sz val="10"/>
      <color rgb="FFFFFFFF"/>
      <name val="Noto Sans CJK SC"/>
      <family val="2"/>
    </font>
    <font>
      <sz val="10"/>
      <name val="Noto Sans CJK SC"/>
      <family val="2"/>
    </font>
    <font>
      <i val="true"/>
      <sz val="9"/>
      <color rgb="FF5C7B9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4A5C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DEE5"/>
      </left>
      <right style="thin">
        <color rgb="FFD6DEE5"/>
      </right>
      <top style="thin">
        <color rgb="FFD6DEE5"/>
      </top>
      <bottom style="thin">
        <color rgb="FFD6DE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E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7B91"/>
      <rgbColor rgb="FF969696"/>
      <rgbColor rgb="FF003366"/>
      <rgbColor rgb="FF339966"/>
      <rgbColor rgb="FF003300"/>
      <rgbColor rgb="FF333300"/>
      <rgbColor rgb="FF993300"/>
      <rgbColor rgb="FF993366"/>
      <rgbColor rgb="FF2F4A5C"/>
      <rgbColor rgb="FF1B24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4" t="s">
        <v>5</v>
      </c>
    </row>
    <row r="6" customFormat="false" ht="15" hidden="false" customHeight="false" outlineLevel="0" collapsed="false">
      <c r="A6" s="4" t="s">
        <v>6</v>
      </c>
      <c r="B6" s="4" t="s">
        <v>7</v>
      </c>
    </row>
    <row r="7" customFormat="false" ht="15" hidden="false" customHeight="false" outlineLevel="0" collapsed="false">
      <c r="A7" s="4" t="s">
        <v>8</v>
      </c>
      <c r="B7" s="4" t="s">
        <v>9</v>
      </c>
    </row>
    <row r="8" customFormat="false" ht="15" hidden="false" customHeight="false" outlineLevel="0" collapsed="false">
      <c r="A8" s="4" t="s">
        <v>10</v>
      </c>
      <c r="B8" s="4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5" t="s">
        <v>12</v>
      </c>
    </row>
    <row r="2" customFormat="false" ht="15" hidden="false" customHeight="false" outlineLevel="0" collapsed="false">
      <c r="A2" s="2" t="s">
        <v>13</v>
      </c>
    </row>
    <row r="3" customFormat="false" ht="15" hidden="false" customHeight="false" outlineLevel="0" collapsed="false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</row>
    <row r="4" customFormat="false" ht="15" hidden="false" customHeight="false" outlineLevel="0" collapsed="false">
      <c r="A4" s="6" t="s">
        <v>22</v>
      </c>
      <c r="B4" s="6" t="n">
        <v>62</v>
      </c>
      <c r="C4" s="6" t="n">
        <v>88</v>
      </c>
      <c r="D4" s="6" t="n">
        <v>45</v>
      </c>
      <c r="E4" s="6" t="n">
        <v>20</v>
      </c>
      <c r="F4" s="6" t="n">
        <v>30</v>
      </c>
      <c r="G4" s="6" t="n">
        <f aca="false">SUM(B4:F4)</f>
        <v>245</v>
      </c>
      <c r="H4" s="6" t="n">
        <v>3.2</v>
      </c>
    </row>
    <row r="5" customFormat="false" ht="15" hidden="false" customHeight="false" outlineLevel="0" collapsed="false">
      <c r="A5" s="6" t="s">
        <v>23</v>
      </c>
      <c r="B5" s="6" t="n">
        <v>58</v>
      </c>
      <c r="C5" s="6" t="n">
        <v>90</v>
      </c>
      <c r="D5" s="6" t="n">
        <v>47</v>
      </c>
      <c r="E5" s="6" t="n">
        <v>19</v>
      </c>
      <c r="F5" s="6" t="n">
        <v>28</v>
      </c>
      <c r="G5" s="6" t="n">
        <f aca="false">SUM(B5:F5)</f>
        <v>242</v>
      </c>
      <c r="H5" s="6" t="n">
        <v>-1.5</v>
      </c>
    </row>
    <row r="6" customFormat="false" ht="15" hidden="false" customHeight="false" outlineLevel="0" collapsed="false">
      <c r="A6" s="6" t="s">
        <v>24</v>
      </c>
      <c r="B6" s="6" t="n">
        <v>71</v>
      </c>
      <c r="C6" s="6" t="n">
        <v>95</v>
      </c>
      <c r="D6" s="6" t="n">
        <v>50</v>
      </c>
      <c r="E6" s="6" t="n">
        <v>22</v>
      </c>
      <c r="F6" s="6" t="n">
        <v>31</v>
      </c>
      <c r="G6" s="6" t="n">
        <f aca="false">SUM(B6:F6)</f>
        <v>269</v>
      </c>
      <c r="H6" s="6" t="n">
        <v>4.8</v>
      </c>
    </row>
    <row r="7" customFormat="false" ht="15" hidden="false" customHeight="false" outlineLevel="0" collapsed="false">
      <c r="A7" s="6" t="s">
        <v>25</v>
      </c>
      <c r="B7" s="6" t="n">
        <v>65</v>
      </c>
      <c r="C7" s="6" t="n">
        <v>92</v>
      </c>
      <c r="D7" s="6" t="n">
        <v>48</v>
      </c>
      <c r="E7" s="6" t="n">
        <v>21</v>
      </c>
      <c r="F7" s="6" t="n">
        <v>29</v>
      </c>
      <c r="G7" s="6" t="n">
        <f aca="false">SUM(B7:F7)</f>
        <v>255</v>
      </c>
      <c r="H7" s="6" t="n">
        <v>2.1</v>
      </c>
    </row>
    <row r="8" customFormat="false" ht="15" hidden="false" customHeight="false" outlineLevel="0" collapsed="false">
      <c r="A8" s="6" t="s">
        <v>26</v>
      </c>
      <c r="B8" s="6" t="n">
        <v>69</v>
      </c>
      <c r="C8" s="6" t="n">
        <v>97</v>
      </c>
      <c r="D8" s="6" t="n">
        <v>52</v>
      </c>
      <c r="E8" s="6" t="n">
        <v>23</v>
      </c>
      <c r="F8" s="6" t="n">
        <v>33</v>
      </c>
      <c r="G8" s="6" t="n">
        <f aca="false">SUM(B8:F8)</f>
        <v>274</v>
      </c>
      <c r="H8" s="6" t="n">
        <v>5.5</v>
      </c>
    </row>
    <row r="9" customFormat="false" ht="15" hidden="false" customHeight="false" outlineLevel="0" collapsed="false">
      <c r="A9" s="6" t="s">
        <v>27</v>
      </c>
      <c r="B9" s="6" t="n">
        <v>74</v>
      </c>
      <c r="C9" s="6" t="n">
        <v>101</v>
      </c>
      <c r="D9" s="6" t="n">
        <v>55</v>
      </c>
      <c r="E9" s="6" t="n">
        <v>24</v>
      </c>
      <c r="F9" s="6" t="n">
        <v>34</v>
      </c>
      <c r="G9" s="6" t="n">
        <f aca="false">SUM(B9:F9)</f>
        <v>288</v>
      </c>
      <c r="H9" s="6" t="n">
        <v>6</v>
      </c>
    </row>
    <row r="10" customFormat="false" ht="15" hidden="false" customHeight="false" outlineLevel="0" collapsed="false">
      <c r="A10" s="6" t="s">
        <v>28</v>
      </c>
      <c r="B10" s="6" t="n">
        <v>70</v>
      </c>
      <c r="C10" s="6" t="n">
        <v>99</v>
      </c>
      <c r="D10" s="6" t="n">
        <v>53</v>
      </c>
      <c r="E10" s="6" t="n">
        <v>22</v>
      </c>
      <c r="F10" s="6" t="n">
        <v>32</v>
      </c>
      <c r="G10" s="6" t="n">
        <f aca="false">SUM(B10:F10)</f>
        <v>276</v>
      </c>
      <c r="H10" s="6" t="n">
        <v>1.8</v>
      </c>
    </row>
    <row r="11" customFormat="false" ht="15" hidden="false" customHeight="false" outlineLevel="0" collapsed="false">
      <c r="A11" s="6" t="s">
        <v>29</v>
      </c>
      <c r="B11" s="6" t="n">
        <v>66</v>
      </c>
      <c r="C11" s="6" t="n">
        <v>94</v>
      </c>
      <c r="D11" s="6" t="n">
        <v>49</v>
      </c>
      <c r="E11" s="6" t="n">
        <v>20</v>
      </c>
      <c r="F11" s="6" t="n">
        <v>30</v>
      </c>
      <c r="G11" s="6" t="n">
        <f aca="false">SUM(B11:F11)</f>
        <v>259</v>
      </c>
      <c r="H11" s="6" t="n">
        <v>-2</v>
      </c>
    </row>
    <row r="12" customFormat="false" ht="15" hidden="false" customHeight="false" outlineLevel="0" collapsed="false">
      <c r="A12" s="6" t="s">
        <v>30</v>
      </c>
      <c r="B12" s="6" t="n">
        <v>78</v>
      </c>
      <c r="C12" s="6" t="n">
        <v>103</v>
      </c>
      <c r="D12" s="6" t="n">
        <v>58</v>
      </c>
      <c r="E12" s="6" t="n">
        <v>25</v>
      </c>
      <c r="F12" s="6" t="n">
        <v>36</v>
      </c>
      <c r="G12" s="6" t="n">
        <f aca="false">SUM(B12:F12)</f>
        <v>300</v>
      </c>
      <c r="H12" s="6" t="n">
        <v>7.2</v>
      </c>
    </row>
    <row r="13" customFormat="false" ht="15" hidden="false" customHeight="false" outlineLevel="0" collapsed="false">
      <c r="A13" s="6" t="s">
        <v>31</v>
      </c>
      <c r="B13" s="6" t="n">
        <v>81</v>
      </c>
      <c r="C13" s="6" t="n">
        <v>107</v>
      </c>
      <c r="D13" s="6" t="n">
        <v>60</v>
      </c>
      <c r="E13" s="6" t="n">
        <v>26</v>
      </c>
      <c r="F13" s="6" t="n">
        <v>37</v>
      </c>
      <c r="G13" s="6" t="n">
        <f aca="false">SUM(B13:F13)</f>
        <v>311</v>
      </c>
      <c r="H13" s="6" t="n">
        <v>6.8</v>
      </c>
    </row>
    <row r="14" customFormat="false" ht="15" hidden="false" customHeight="false" outlineLevel="0" collapsed="false">
      <c r="A14" s="6" t="s">
        <v>32</v>
      </c>
      <c r="B14" s="6" t="n">
        <v>76</v>
      </c>
      <c r="C14" s="6" t="n">
        <v>104</v>
      </c>
      <c r="D14" s="6" t="n">
        <v>57</v>
      </c>
      <c r="E14" s="6" t="n">
        <v>24</v>
      </c>
      <c r="F14" s="6" t="n">
        <v>35</v>
      </c>
      <c r="G14" s="6" t="n">
        <f aca="false">SUM(B14:F14)</f>
        <v>296</v>
      </c>
      <c r="H14" s="6" t="n">
        <v>4.1</v>
      </c>
    </row>
    <row r="15" customFormat="false" ht="15" hidden="false" customHeight="false" outlineLevel="0" collapsed="false">
      <c r="A15" s="6" t="s">
        <v>33</v>
      </c>
      <c r="B15" s="6" t="n">
        <v>85</v>
      </c>
      <c r="C15" s="6" t="n">
        <v>112</v>
      </c>
      <c r="D15" s="6" t="n">
        <v>63</v>
      </c>
      <c r="E15" s="6" t="n">
        <v>28</v>
      </c>
      <c r="F15" s="6" t="n">
        <v>40</v>
      </c>
      <c r="G15" s="6" t="n">
        <f aca="false">SUM(B15:F15)</f>
        <v>328</v>
      </c>
      <c r="H15" s="6" t="n">
        <v>8.5</v>
      </c>
    </row>
    <row r="16" customFormat="false" ht="15" hidden="false" customHeight="false" outlineLevel="0" collapsed="false">
      <c r="A16" s="3" t="s">
        <v>20</v>
      </c>
      <c r="B16" s="3" t="n">
        <f aca="false">SUM(B4:B15)</f>
        <v>855</v>
      </c>
      <c r="C16" s="3" t="n">
        <f aca="false">SUM(C4:C15)</f>
        <v>1182</v>
      </c>
      <c r="D16" s="3" t="n">
        <f aca="false">SUM(D4:D15)</f>
        <v>637</v>
      </c>
      <c r="E16" s="3" t="n">
        <f aca="false">SUM(E4:E15)</f>
        <v>274</v>
      </c>
      <c r="F16" s="3" t="n">
        <f aca="false">SUM(F4:F15)</f>
        <v>395</v>
      </c>
      <c r="G16" s="3" t="n">
        <f aca="false">SUM(G4:G15)</f>
        <v>3343</v>
      </c>
      <c r="H16" s="3"/>
    </row>
    <row r="18" customFormat="false" ht="15" hidden="false" customHeight="false" outlineLevel="0" collapsed="false">
      <c r="A18" s="5" t="s">
        <v>34</v>
      </c>
    </row>
    <row r="19" customFormat="false" ht="15" hidden="false" customHeight="false" outlineLevel="0" collapsed="false">
      <c r="A19" s="2" t="s">
        <v>35</v>
      </c>
    </row>
    <row r="20" customFormat="false" ht="15" hidden="false" customHeight="false" outlineLevel="0" collapsed="false">
      <c r="A20" s="3" t="s">
        <v>36</v>
      </c>
      <c r="B20" s="3" t="s">
        <v>37</v>
      </c>
    </row>
    <row r="21" customFormat="false" ht="15" hidden="false" customHeight="false" outlineLevel="0" collapsed="false">
      <c r="A21" s="4" t="s">
        <v>38</v>
      </c>
      <c r="B21" s="4" t="n">
        <v>320</v>
      </c>
    </row>
    <row r="22" customFormat="false" ht="15" hidden="false" customHeight="false" outlineLevel="0" collapsed="false">
      <c r="A22" s="4" t="s">
        <v>39</v>
      </c>
      <c r="B22" s="4" t="n">
        <v>265</v>
      </c>
    </row>
    <row r="23" customFormat="false" ht="15" hidden="false" customHeight="false" outlineLevel="0" collapsed="false">
      <c r="A23" s="4" t="s">
        <v>40</v>
      </c>
      <c r="B23" s="4" t="n">
        <v>198</v>
      </c>
    </row>
    <row r="24" customFormat="false" ht="15" hidden="false" customHeight="false" outlineLevel="0" collapsed="false">
      <c r="A24" s="4" t="s">
        <v>41</v>
      </c>
      <c r="B24" s="4" t="n">
        <v>142</v>
      </c>
    </row>
    <row r="25" customFormat="false" ht="15" hidden="false" customHeight="false" outlineLevel="0" collapsed="false">
      <c r="A25" s="4" t="s">
        <v>42</v>
      </c>
      <c r="B25" s="4" t="n">
        <v>88</v>
      </c>
    </row>
    <row r="28" customFormat="false" ht="15" hidden="false" customHeight="false" outlineLevel="0" collapsed="false">
      <c r="A28" s="5" t="s">
        <v>43</v>
      </c>
    </row>
    <row r="29" customFormat="false" ht="15" hidden="false" customHeight="false" outlineLevel="0" collapsed="false">
      <c r="A29" s="2" t="s">
        <v>35</v>
      </c>
    </row>
    <row r="30" customFormat="false" ht="15" hidden="false" customHeight="false" outlineLevel="0" collapsed="false">
      <c r="A30" s="3" t="s">
        <v>44</v>
      </c>
      <c r="B30" s="3" t="s">
        <v>45</v>
      </c>
    </row>
    <row r="31" customFormat="false" ht="15" hidden="false" customHeight="false" outlineLevel="0" collapsed="false">
      <c r="A31" s="4" t="s">
        <v>46</v>
      </c>
      <c r="B31" s="4" t="n">
        <v>69000</v>
      </c>
    </row>
    <row r="32" customFormat="false" ht="15" hidden="false" customHeight="false" outlineLevel="0" collapsed="false">
      <c r="A32" s="4" t="s">
        <v>47</v>
      </c>
      <c r="B32" s="4" t="n">
        <v>8500</v>
      </c>
    </row>
    <row r="33" customFormat="false" ht="15" hidden="false" customHeight="false" outlineLevel="0" collapsed="false">
      <c r="A33" s="4" t="s">
        <v>48</v>
      </c>
      <c r="B33" s="4" t="n">
        <v>12000</v>
      </c>
    </row>
    <row r="34" customFormat="false" ht="15" hidden="false" customHeight="false" outlineLevel="0" collapsed="false">
      <c r="A34" s="4" t="s">
        <v>49</v>
      </c>
      <c r="B34" s="4" t="n">
        <v>-6200</v>
      </c>
    </row>
    <row r="35" customFormat="false" ht="15" hidden="false" customHeight="false" outlineLevel="0" collapsed="false">
      <c r="A35" s="4" t="s">
        <v>50</v>
      </c>
      <c r="B35" s="4" t="n">
        <v>-2300</v>
      </c>
    </row>
    <row r="36" customFormat="false" ht="15" hidden="false" customHeight="false" outlineLevel="0" collapsed="false">
      <c r="A36" s="4" t="s">
        <v>51</v>
      </c>
      <c r="B36" s="4" t="n">
        <v>81000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5" t="s">
        <v>52</v>
      </c>
    </row>
    <row r="2" customFormat="false" ht="15" hidden="false" customHeight="false" outlineLevel="0" collapsed="false">
      <c r="A2" s="2" t="s">
        <v>53</v>
      </c>
    </row>
    <row r="3" customFormat="false" ht="15" hidden="false" customHeight="false" outlineLevel="0" collapsed="false">
      <c r="A3" s="3" t="s">
        <v>36</v>
      </c>
      <c r="B3" s="3" t="s">
        <v>54</v>
      </c>
      <c r="C3" s="3" t="s">
        <v>21</v>
      </c>
      <c r="D3" s="3" t="s">
        <v>55</v>
      </c>
      <c r="E3" s="3" t="s">
        <v>56</v>
      </c>
    </row>
    <row r="4" customFormat="false" ht="15" hidden="false" customHeight="false" outlineLevel="0" collapsed="false">
      <c r="A4" s="7" t="s">
        <v>38</v>
      </c>
      <c r="B4" s="7" t="n">
        <v>420</v>
      </c>
      <c r="C4" s="7" t="n">
        <v>5.2</v>
      </c>
      <c r="D4" s="7" t="n">
        <v>32000000</v>
      </c>
      <c r="E4" s="6" t="s">
        <v>57</v>
      </c>
    </row>
    <row r="5" customFormat="false" ht="15" hidden="false" customHeight="false" outlineLevel="0" collapsed="false">
      <c r="A5" s="7" t="s">
        <v>39</v>
      </c>
      <c r="B5" s="7" t="n">
        <v>180</v>
      </c>
      <c r="C5" s="7" t="n">
        <v>-3.8</v>
      </c>
      <c r="D5" s="7" t="n">
        <v>26500000</v>
      </c>
      <c r="E5" s="6" t="s">
        <v>58</v>
      </c>
    </row>
    <row r="6" customFormat="false" ht="15" hidden="false" customHeight="false" outlineLevel="0" collapsed="false">
      <c r="A6" s="7" t="s">
        <v>40</v>
      </c>
      <c r="B6" s="7" t="n">
        <v>95</v>
      </c>
      <c r="C6" s="7" t="n">
        <v>8.1</v>
      </c>
      <c r="D6" s="7" t="n">
        <v>19800000</v>
      </c>
      <c r="E6" s="6" t="s">
        <v>59</v>
      </c>
    </row>
    <row r="7" customFormat="false" ht="15" hidden="false" customHeight="false" outlineLevel="0" collapsed="false">
      <c r="A7" s="7" t="s">
        <v>41</v>
      </c>
      <c r="B7" s="7" t="n">
        <v>260</v>
      </c>
      <c r="C7" s="7" t="n">
        <v>-1.2</v>
      </c>
      <c r="D7" s="7" t="n">
        <v>14200000</v>
      </c>
      <c r="E7" s="6" t="s">
        <v>60</v>
      </c>
    </row>
    <row r="8" customFormat="false" ht="15" hidden="false" customHeight="false" outlineLevel="0" collapsed="false">
      <c r="A8" s="7" t="s">
        <v>42</v>
      </c>
      <c r="B8" s="7" t="n">
        <v>340</v>
      </c>
      <c r="C8" s="7" t="n">
        <v>2.4</v>
      </c>
      <c r="D8" s="7" t="n">
        <v>8800000</v>
      </c>
      <c r="E8" s="6" t="s">
        <v>61</v>
      </c>
    </row>
    <row r="9" customFormat="false" ht="15" hidden="false" customHeight="false" outlineLevel="0" collapsed="false">
      <c r="A9" s="7" t="s">
        <v>62</v>
      </c>
      <c r="B9" s="7" t="n">
        <v>150</v>
      </c>
      <c r="C9" s="7" t="n">
        <v>-6.5</v>
      </c>
      <c r="D9" s="7" t="n">
        <v>11300000</v>
      </c>
      <c r="E9" s="6" t="s">
        <v>63</v>
      </c>
    </row>
    <row r="10" customFormat="false" ht="15" hidden="false" customHeight="false" outlineLevel="0" collapsed="false">
      <c r="A10" s="7" t="s">
        <v>64</v>
      </c>
      <c r="B10" s="7" t="n">
        <v>210</v>
      </c>
      <c r="C10" s="7" t="n">
        <v>4.9</v>
      </c>
      <c r="D10" s="7" t="n">
        <v>15600000</v>
      </c>
      <c r="E10" s="6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4" min="3" style="0" width="10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5" t="s">
        <v>66</v>
      </c>
    </row>
    <row r="2" customFormat="false" ht="15" hidden="false" customHeight="false" outlineLevel="0" collapsed="false">
      <c r="A2" s="2" t="s">
        <v>67</v>
      </c>
    </row>
    <row r="3" customFormat="false" ht="15" hidden="false" customHeight="false" outlineLevel="0" collapsed="false">
      <c r="A3" s="3" t="s">
        <v>68</v>
      </c>
      <c r="B3" s="3" t="s">
        <v>69</v>
      </c>
      <c r="C3" s="3" t="s">
        <v>70</v>
      </c>
      <c r="D3" s="3" t="s">
        <v>71</v>
      </c>
      <c r="E3" s="3" t="s">
        <v>72</v>
      </c>
    </row>
    <row r="4" customFormat="false" ht="15" hidden="false" customHeight="false" outlineLevel="0" collapsed="false">
      <c r="A4" s="6" t="s">
        <v>73</v>
      </c>
      <c r="B4" s="7" t="s">
        <v>15</v>
      </c>
      <c r="C4" s="7" t="s">
        <v>74</v>
      </c>
      <c r="D4" s="7" t="s">
        <v>39</v>
      </c>
      <c r="E4" s="7" t="n">
        <v>1700000</v>
      </c>
    </row>
    <row r="5" customFormat="false" ht="15" hidden="false" customHeight="false" outlineLevel="0" collapsed="false">
      <c r="A5" s="6" t="s">
        <v>75</v>
      </c>
      <c r="B5" s="7" t="s">
        <v>15</v>
      </c>
      <c r="C5" s="7" t="s">
        <v>76</v>
      </c>
      <c r="D5" s="7" t="s">
        <v>42</v>
      </c>
      <c r="E5" s="7" t="n">
        <v>3000000</v>
      </c>
    </row>
    <row r="6" customFormat="false" ht="15" hidden="false" customHeight="false" outlineLevel="0" collapsed="false">
      <c r="A6" s="6" t="s">
        <v>77</v>
      </c>
      <c r="B6" s="7" t="s">
        <v>15</v>
      </c>
      <c r="C6" s="7" t="s">
        <v>78</v>
      </c>
      <c r="D6" s="7" t="s">
        <v>39</v>
      </c>
      <c r="E6" s="7" t="n">
        <v>3500000</v>
      </c>
    </row>
    <row r="7" customFormat="false" ht="15" hidden="false" customHeight="false" outlineLevel="0" collapsed="false">
      <c r="A7" s="6" t="s">
        <v>79</v>
      </c>
      <c r="B7" s="7" t="s">
        <v>19</v>
      </c>
      <c r="C7" s="7" t="s">
        <v>78</v>
      </c>
      <c r="D7" s="7" t="s">
        <v>42</v>
      </c>
      <c r="E7" s="7" t="n">
        <v>2900000</v>
      </c>
    </row>
    <row r="8" customFormat="false" ht="15" hidden="false" customHeight="false" outlineLevel="0" collapsed="false">
      <c r="A8" s="6" t="s">
        <v>80</v>
      </c>
      <c r="B8" s="7" t="s">
        <v>19</v>
      </c>
      <c r="C8" s="7" t="s">
        <v>74</v>
      </c>
      <c r="D8" s="7" t="s">
        <v>38</v>
      </c>
      <c r="E8" s="7" t="n">
        <v>1300000</v>
      </c>
    </row>
    <row r="9" customFormat="false" ht="15" hidden="false" customHeight="false" outlineLevel="0" collapsed="false">
      <c r="A9" s="6" t="s">
        <v>81</v>
      </c>
      <c r="B9" s="7" t="s">
        <v>17</v>
      </c>
      <c r="C9" s="7" t="s">
        <v>74</v>
      </c>
      <c r="D9" s="7" t="s">
        <v>39</v>
      </c>
      <c r="E9" s="7" t="n">
        <v>1600000</v>
      </c>
    </row>
    <row r="10" customFormat="false" ht="15" hidden="false" customHeight="false" outlineLevel="0" collapsed="false">
      <c r="A10" s="6" t="s">
        <v>82</v>
      </c>
      <c r="B10" s="7" t="s">
        <v>15</v>
      </c>
      <c r="C10" s="7" t="s">
        <v>83</v>
      </c>
      <c r="D10" s="7" t="s">
        <v>38</v>
      </c>
      <c r="E10" s="7" t="n">
        <v>2500000</v>
      </c>
    </row>
    <row r="11" customFormat="false" ht="15" hidden="false" customHeight="false" outlineLevel="0" collapsed="false">
      <c r="A11" s="6" t="s">
        <v>84</v>
      </c>
      <c r="B11" s="7" t="s">
        <v>17</v>
      </c>
      <c r="C11" s="7" t="s">
        <v>85</v>
      </c>
      <c r="D11" s="7" t="s">
        <v>41</v>
      </c>
      <c r="E11" s="7" t="n">
        <v>3700000</v>
      </c>
    </row>
    <row r="12" customFormat="false" ht="15" hidden="false" customHeight="false" outlineLevel="0" collapsed="false">
      <c r="A12" s="6" t="s">
        <v>86</v>
      </c>
      <c r="B12" s="7" t="s">
        <v>15</v>
      </c>
      <c r="C12" s="7" t="s">
        <v>74</v>
      </c>
      <c r="D12" s="7" t="s">
        <v>42</v>
      </c>
      <c r="E12" s="7" t="n">
        <v>2600000</v>
      </c>
    </row>
    <row r="13" customFormat="false" ht="15" hidden="false" customHeight="false" outlineLevel="0" collapsed="false">
      <c r="A13" s="6" t="s">
        <v>87</v>
      </c>
      <c r="B13" s="7" t="s">
        <v>15</v>
      </c>
      <c r="C13" s="7" t="s">
        <v>85</v>
      </c>
      <c r="D13" s="7" t="s">
        <v>39</v>
      </c>
      <c r="E13" s="7" t="n">
        <v>2100000</v>
      </c>
    </row>
    <row r="14" customFormat="false" ht="15" hidden="false" customHeight="false" outlineLevel="0" collapsed="false">
      <c r="A14" s="6" t="s">
        <v>88</v>
      </c>
      <c r="B14" s="7" t="s">
        <v>16</v>
      </c>
      <c r="C14" s="7" t="s">
        <v>76</v>
      </c>
      <c r="D14" s="7" t="s">
        <v>41</v>
      </c>
      <c r="E14" s="7" t="n">
        <v>2000000</v>
      </c>
    </row>
    <row r="15" customFormat="false" ht="15" hidden="false" customHeight="false" outlineLevel="0" collapsed="false">
      <c r="A15" s="6" t="s">
        <v>89</v>
      </c>
      <c r="B15" s="7" t="s">
        <v>17</v>
      </c>
      <c r="C15" s="7" t="s">
        <v>90</v>
      </c>
      <c r="D15" s="7" t="s">
        <v>40</v>
      </c>
      <c r="E15" s="7" t="n">
        <v>2500000</v>
      </c>
    </row>
    <row r="16" customFormat="false" ht="15" hidden="false" customHeight="false" outlineLevel="0" collapsed="false">
      <c r="A16" s="6" t="s">
        <v>91</v>
      </c>
      <c r="B16" s="7" t="s">
        <v>17</v>
      </c>
      <c r="C16" s="7" t="s">
        <v>76</v>
      </c>
      <c r="D16" s="7" t="s">
        <v>42</v>
      </c>
      <c r="E16" s="7" t="n">
        <v>4300000</v>
      </c>
    </row>
    <row r="17" customFormat="false" ht="15" hidden="false" customHeight="false" outlineLevel="0" collapsed="false">
      <c r="A17" s="6" t="s">
        <v>59</v>
      </c>
      <c r="B17" s="7" t="s">
        <v>16</v>
      </c>
      <c r="C17" s="7" t="s">
        <v>90</v>
      </c>
      <c r="D17" s="7" t="s">
        <v>41</v>
      </c>
      <c r="E17" s="7" t="n">
        <v>2700000</v>
      </c>
    </row>
    <row r="18" customFormat="false" ht="15" hidden="false" customHeight="false" outlineLevel="0" collapsed="false">
      <c r="A18" s="6" t="s">
        <v>89</v>
      </c>
      <c r="B18" s="7" t="s">
        <v>19</v>
      </c>
      <c r="C18" s="7" t="s">
        <v>78</v>
      </c>
      <c r="D18" s="7" t="s">
        <v>40</v>
      </c>
      <c r="E18" s="7" t="n">
        <v>600000</v>
      </c>
    </row>
    <row r="19" customFormat="false" ht="15" hidden="false" customHeight="false" outlineLevel="0" collapsed="false">
      <c r="A19" s="6" t="s">
        <v>92</v>
      </c>
      <c r="B19" s="7" t="s">
        <v>15</v>
      </c>
      <c r="C19" s="7" t="s">
        <v>93</v>
      </c>
      <c r="D19" s="7" t="s">
        <v>41</v>
      </c>
      <c r="E19" s="7" t="n">
        <v>2000000</v>
      </c>
    </row>
    <row r="20" customFormat="false" ht="15" hidden="false" customHeight="false" outlineLevel="0" collapsed="false">
      <c r="A20" s="6" t="s">
        <v>94</v>
      </c>
      <c r="B20" s="7" t="s">
        <v>19</v>
      </c>
      <c r="C20" s="7" t="s">
        <v>93</v>
      </c>
      <c r="D20" s="7" t="s">
        <v>39</v>
      </c>
      <c r="E20" s="7" t="n">
        <v>4400000</v>
      </c>
    </row>
    <row r="21" customFormat="false" ht="15" hidden="false" customHeight="false" outlineLevel="0" collapsed="false">
      <c r="A21" s="6" t="s">
        <v>95</v>
      </c>
      <c r="B21" s="7" t="s">
        <v>18</v>
      </c>
      <c r="C21" s="7" t="s">
        <v>90</v>
      </c>
      <c r="D21" s="7" t="s">
        <v>40</v>
      </c>
      <c r="E21" s="7" t="n">
        <v>1100000</v>
      </c>
    </row>
    <row r="22" customFormat="false" ht="15" hidden="false" customHeight="false" outlineLevel="0" collapsed="false">
      <c r="A22" s="6" t="s">
        <v>75</v>
      </c>
      <c r="B22" s="7" t="s">
        <v>19</v>
      </c>
      <c r="C22" s="7" t="s">
        <v>74</v>
      </c>
      <c r="D22" s="7" t="s">
        <v>42</v>
      </c>
      <c r="E22" s="7" t="n">
        <v>3000000</v>
      </c>
    </row>
    <row r="23" customFormat="false" ht="15" hidden="false" customHeight="false" outlineLevel="0" collapsed="false">
      <c r="A23" s="6" t="s">
        <v>96</v>
      </c>
      <c r="B23" s="7" t="s">
        <v>17</v>
      </c>
      <c r="C23" s="7" t="s">
        <v>78</v>
      </c>
      <c r="D23" s="7" t="s">
        <v>39</v>
      </c>
      <c r="E23" s="7" t="n">
        <v>3500000</v>
      </c>
    </row>
    <row r="24" customFormat="false" ht="15" hidden="false" customHeight="false" outlineLevel="0" collapsed="false">
      <c r="A24" s="6" t="s">
        <v>97</v>
      </c>
      <c r="B24" s="7" t="s">
        <v>15</v>
      </c>
      <c r="C24" s="7" t="s">
        <v>76</v>
      </c>
      <c r="D24" s="7" t="s">
        <v>39</v>
      </c>
      <c r="E24" s="7" t="n">
        <v>4300000</v>
      </c>
    </row>
    <row r="25" customFormat="false" ht="15" hidden="false" customHeight="false" outlineLevel="0" collapsed="false">
      <c r="A25" s="6" t="s">
        <v>98</v>
      </c>
      <c r="B25" s="7" t="s">
        <v>18</v>
      </c>
      <c r="C25" s="7" t="s">
        <v>76</v>
      </c>
      <c r="D25" s="7" t="s">
        <v>41</v>
      </c>
      <c r="E25" s="7" t="n">
        <v>2700000</v>
      </c>
    </row>
    <row r="26" customFormat="false" ht="15" hidden="false" customHeight="false" outlineLevel="0" collapsed="false">
      <c r="A26" s="6" t="s">
        <v>99</v>
      </c>
      <c r="B26" s="7" t="s">
        <v>19</v>
      </c>
      <c r="C26" s="7" t="s">
        <v>74</v>
      </c>
      <c r="D26" s="7" t="s">
        <v>42</v>
      </c>
      <c r="E26" s="7" t="n">
        <v>300000</v>
      </c>
    </row>
    <row r="27" customFormat="false" ht="15" hidden="false" customHeight="false" outlineLevel="0" collapsed="false">
      <c r="A27" s="6" t="s">
        <v>100</v>
      </c>
      <c r="B27" s="7" t="s">
        <v>15</v>
      </c>
      <c r="C27" s="7" t="s">
        <v>74</v>
      </c>
      <c r="D27" s="7" t="s">
        <v>40</v>
      </c>
      <c r="E27" s="7" t="n">
        <v>1000000</v>
      </c>
    </row>
    <row r="28" customFormat="false" ht="15" hidden="false" customHeight="false" outlineLevel="0" collapsed="false">
      <c r="A28" s="6" t="s">
        <v>101</v>
      </c>
      <c r="B28" s="7" t="s">
        <v>16</v>
      </c>
      <c r="C28" s="7" t="s">
        <v>102</v>
      </c>
      <c r="D28" s="7" t="s">
        <v>38</v>
      </c>
      <c r="E28" s="7" t="n">
        <v>1900000</v>
      </c>
    </row>
    <row r="29" customFormat="false" ht="15" hidden="false" customHeight="false" outlineLevel="0" collapsed="false">
      <c r="A29" s="6" t="s">
        <v>103</v>
      </c>
      <c r="B29" s="7" t="s">
        <v>16</v>
      </c>
      <c r="C29" s="7" t="s">
        <v>76</v>
      </c>
      <c r="D29" s="7" t="s">
        <v>40</v>
      </c>
      <c r="E29" s="7" t="n">
        <v>4300000</v>
      </c>
    </row>
    <row r="30" customFormat="false" ht="15" hidden="false" customHeight="false" outlineLevel="0" collapsed="false">
      <c r="A30" s="6" t="s">
        <v>104</v>
      </c>
      <c r="B30" s="7" t="s">
        <v>16</v>
      </c>
      <c r="C30" s="7" t="s">
        <v>90</v>
      </c>
      <c r="D30" s="7" t="s">
        <v>40</v>
      </c>
      <c r="E30" s="7" t="n">
        <v>1300000</v>
      </c>
    </row>
    <row r="31" customFormat="false" ht="15" hidden="false" customHeight="false" outlineLevel="0" collapsed="false">
      <c r="A31" s="6" t="s">
        <v>103</v>
      </c>
      <c r="B31" s="7" t="s">
        <v>19</v>
      </c>
      <c r="C31" s="7" t="s">
        <v>85</v>
      </c>
      <c r="D31" s="7" t="s">
        <v>42</v>
      </c>
      <c r="E31" s="7" t="n">
        <v>2300000</v>
      </c>
    </row>
    <row r="32" customFormat="false" ht="15" hidden="false" customHeight="false" outlineLevel="0" collapsed="false">
      <c r="A32" s="6" t="s">
        <v>105</v>
      </c>
      <c r="B32" s="7" t="s">
        <v>15</v>
      </c>
      <c r="C32" s="7" t="s">
        <v>93</v>
      </c>
      <c r="D32" s="7" t="s">
        <v>40</v>
      </c>
      <c r="E32" s="7" t="n">
        <v>1800000</v>
      </c>
    </row>
    <row r="33" customFormat="false" ht="15" hidden="false" customHeight="false" outlineLevel="0" collapsed="false">
      <c r="A33" s="6" t="s">
        <v>106</v>
      </c>
      <c r="B33" s="7" t="s">
        <v>19</v>
      </c>
      <c r="C33" s="7" t="s">
        <v>76</v>
      </c>
      <c r="D33" s="7" t="s">
        <v>38</v>
      </c>
      <c r="E33" s="7" t="n">
        <v>3400000</v>
      </c>
    </row>
    <row r="34" customFormat="false" ht="15" hidden="false" customHeight="false" outlineLevel="0" collapsed="false">
      <c r="A34" s="6" t="s">
        <v>107</v>
      </c>
      <c r="B34" s="7" t="s">
        <v>19</v>
      </c>
      <c r="C34" s="7" t="s">
        <v>90</v>
      </c>
      <c r="D34" s="7" t="s">
        <v>39</v>
      </c>
      <c r="E34" s="7" t="n">
        <v>4500000</v>
      </c>
    </row>
    <row r="35" customFormat="false" ht="15" hidden="false" customHeight="false" outlineLevel="0" collapsed="false">
      <c r="A35" s="6" t="s">
        <v>108</v>
      </c>
      <c r="B35" s="7" t="s">
        <v>16</v>
      </c>
      <c r="C35" s="7" t="s">
        <v>74</v>
      </c>
      <c r="D35" s="7" t="s">
        <v>42</v>
      </c>
      <c r="E35" s="7" t="n">
        <v>4100000</v>
      </c>
    </row>
    <row r="36" customFormat="false" ht="15" hidden="false" customHeight="false" outlineLevel="0" collapsed="false">
      <c r="A36" s="6" t="s">
        <v>109</v>
      </c>
      <c r="B36" s="7" t="s">
        <v>19</v>
      </c>
      <c r="C36" s="7" t="s">
        <v>78</v>
      </c>
      <c r="D36" s="7" t="s">
        <v>40</v>
      </c>
      <c r="E36" s="7" t="n">
        <v>2800000</v>
      </c>
    </row>
    <row r="37" customFormat="false" ht="15" hidden="false" customHeight="false" outlineLevel="0" collapsed="false">
      <c r="A37" s="6" t="s">
        <v>110</v>
      </c>
      <c r="B37" s="7" t="s">
        <v>17</v>
      </c>
      <c r="C37" s="7" t="s">
        <v>102</v>
      </c>
      <c r="D37" s="7" t="s">
        <v>42</v>
      </c>
      <c r="E37" s="7" t="n">
        <v>3100000</v>
      </c>
    </row>
    <row r="38" customFormat="false" ht="15" hidden="false" customHeight="false" outlineLevel="0" collapsed="false">
      <c r="A38" s="6" t="s">
        <v>106</v>
      </c>
      <c r="B38" s="7" t="s">
        <v>16</v>
      </c>
      <c r="C38" s="7" t="s">
        <v>76</v>
      </c>
      <c r="D38" s="7" t="s">
        <v>40</v>
      </c>
      <c r="E38" s="7" t="n">
        <v>400000</v>
      </c>
    </row>
    <row r="39" customFormat="false" ht="15" hidden="false" customHeight="false" outlineLevel="0" collapsed="false">
      <c r="A39" s="6" t="s">
        <v>111</v>
      </c>
      <c r="B39" s="7" t="s">
        <v>16</v>
      </c>
      <c r="C39" s="7" t="s">
        <v>78</v>
      </c>
      <c r="D39" s="7" t="s">
        <v>38</v>
      </c>
      <c r="E39" s="7" t="n">
        <v>700000</v>
      </c>
    </row>
    <row r="40" customFormat="false" ht="15" hidden="false" customHeight="false" outlineLevel="0" collapsed="false">
      <c r="A40" s="6" t="s">
        <v>110</v>
      </c>
      <c r="B40" s="7" t="s">
        <v>15</v>
      </c>
      <c r="C40" s="7" t="s">
        <v>78</v>
      </c>
      <c r="D40" s="7" t="s">
        <v>38</v>
      </c>
      <c r="E40" s="7" t="n">
        <v>500000</v>
      </c>
    </row>
    <row r="41" customFormat="false" ht="15" hidden="false" customHeight="false" outlineLevel="0" collapsed="false">
      <c r="A41" s="6" t="s">
        <v>97</v>
      </c>
      <c r="B41" s="7" t="s">
        <v>19</v>
      </c>
      <c r="C41" s="7" t="s">
        <v>78</v>
      </c>
      <c r="D41" s="7" t="s">
        <v>40</v>
      </c>
      <c r="E41" s="7" t="n">
        <v>4500000</v>
      </c>
    </row>
    <row r="42" customFormat="false" ht="15" hidden="false" customHeight="false" outlineLevel="0" collapsed="false">
      <c r="A42" s="6" t="s">
        <v>109</v>
      </c>
      <c r="B42" s="7" t="s">
        <v>19</v>
      </c>
      <c r="C42" s="7" t="s">
        <v>90</v>
      </c>
      <c r="D42" s="7" t="s">
        <v>42</v>
      </c>
      <c r="E42" s="7" t="n">
        <v>3900000</v>
      </c>
    </row>
    <row r="43" customFormat="false" ht="15" hidden="false" customHeight="false" outlineLevel="0" collapsed="false">
      <c r="A43" s="6" t="s">
        <v>112</v>
      </c>
      <c r="B43" s="7" t="s">
        <v>18</v>
      </c>
      <c r="C43" s="7" t="s">
        <v>83</v>
      </c>
      <c r="D43" s="7" t="s">
        <v>39</v>
      </c>
      <c r="E43" s="7" t="n">
        <v>900000</v>
      </c>
    </row>
    <row r="44" customFormat="false" ht="15" hidden="false" customHeight="false" outlineLevel="0" collapsed="false">
      <c r="A44" s="6" t="s">
        <v>91</v>
      </c>
      <c r="B44" s="7" t="s">
        <v>18</v>
      </c>
      <c r="C44" s="7" t="s">
        <v>93</v>
      </c>
      <c r="D44" s="7" t="s">
        <v>41</v>
      </c>
      <c r="E44" s="7" t="n">
        <v>2900000</v>
      </c>
    </row>
    <row r="45" customFormat="false" ht="15" hidden="false" customHeight="false" outlineLevel="0" collapsed="false">
      <c r="A45" s="6" t="s">
        <v>113</v>
      </c>
      <c r="B45" s="7" t="s">
        <v>15</v>
      </c>
      <c r="C45" s="7" t="s">
        <v>76</v>
      </c>
      <c r="D45" s="7" t="s">
        <v>38</v>
      </c>
      <c r="E45" s="7" t="n">
        <v>2800000</v>
      </c>
    </row>
    <row r="46" customFormat="false" ht="15" hidden="false" customHeight="false" outlineLevel="0" collapsed="false">
      <c r="A46" s="6" t="s">
        <v>114</v>
      </c>
      <c r="B46" s="7" t="s">
        <v>15</v>
      </c>
      <c r="C46" s="7" t="s">
        <v>78</v>
      </c>
      <c r="D46" s="7" t="s">
        <v>39</v>
      </c>
      <c r="E46" s="7" t="n">
        <v>1500000</v>
      </c>
    </row>
    <row r="47" customFormat="false" ht="15" hidden="false" customHeight="false" outlineLevel="0" collapsed="false">
      <c r="A47" s="6" t="s">
        <v>99</v>
      </c>
      <c r="B47" s="7" t="s">
        <v>16</v>
      </c>
      <c r="C47" s="7" t="s">
        <v>83</v>
      </c>
      <c r="D47" s="7" t="s">
        <v>39</v>
      </c>
      <c r="E47" s="7" t="n">
        <v>2000000</v>
      </c>
    </row>
    <row r="48" customFormat="false" ht="15" hidden="false" customHeight="false" outlineLevel="0" collapsed="false">
      <c r="A48" s="6" t="s">
        <v>112</v>
      </c>
      <c r="B48" s="7" t="s">
        <v>15</v>
      </c>
      <c r="C48" s="7" t="s">
        <v>102</v>
      </c>
      <c r="D48" s="7" t="s">
        <v>42</v>
      </c>
      <c r="E48" s="7" t="n">
        <v>900000</v>
      </c>
    </row>
    <row r="49" customFormat="false" ht="15" hidden="false" customHeight="false" outlineLevel="0" collapsed="false">
      <c r="A49" s="6" t="s">
        <v>115</v>
      </c>
      <c r="B49" s="7" t="s">
        <v>19</v>
      </c>
      <c r="C49" s="7" t="s">
        <v>85</v>
      </c>
      <c r="D49" s="7" t="s">
        <v>38</v>
      </c>
      <c r="E49" s="7" t="n">
        <v>1800000</v>
      </c>
    </row>
    <row r="50" customFormat="false" ht="15" hidden="false" customHeight="false" outlineLevel="0" collapsed="false">
      <c r="A50" s="6" t="s">
        <v>116</v>
      </c>
      <c r="B50" s="7" t="s">
        <v>18</v>
      </c>
      <c r="C50" s="7" t="s">
        <v>102</v>
      </c>
      <c r="D50" s="7" t="s">
        <v>39</v>
      </c>
      <c r="E50" s="7" t="n">
        <v>2800000</v>
      </c>
    </row>
    <row r="51" customFormat="false" ht="15" hidden="false" customHeight="false" outlineLevel="0" collapsed="false">
      <c r="A51" s="6" t="s">
        <v>117</v>
      </c>
      <c r="B51" s="7" t="s">
        <v>18</v>
      </c>
      <c r="C51" s="7" t="s">
        <v>85</v>
      </c>
      <c r="D51" s="7" t="s">
        <v>41</v>
      </c>
      <c r="E51" s="7" t="n">
        <v>1900000</v>
      </c>
    </row>
    <row r="52" customFormat="false" ht="15" hidden="false" customHeight="false" outlineLevel="0" collapsed="false">
      <c r="A52" s="6" t="s">
        <v>118</v>
      </c>
      <c r="B52" s="7" t="s">
        <v>18</v>
      </c>
      <c r="C52" s="7" t="s">
        <v>102</v>
      </c>
      <c r="D52" s="7" t="s">
        <v>39</v>
      </c>
      <c r="E52" s="7" t="n">
        <v>1500000</v>
      </c>
    </row>
    <row r="53" customFormat="false" ht="15" hidden="false" customHeight="false" outlineLevel="0" collapsed="false">
      <c r="A53" s="6" t="s">
        <v>109</v>
      </c>
      <c r="B53" s="7" t="s">
        <v>15</v>
      </c>
      <c r="C53" s="7" t="s">
        <v>85</v>
      </c>
      <c r="D53" s="7" t="s">
        <v>40</v>
      </c>
      <c r="E53" s="7" t="n">
        <v>600000</v>
      </c>
    </row>
    <row r="54" customFormat="false" ht="15" hidden="false" customHeight="false" outlineLevel="0" collapsed="false">
      <c r="A54" s="6" t="s">
        <v>119</v>
      </c>
      <c r="B54" s="7" t="s">
        <v>18</v>
      </c>
      <c r="C54" s="7" t="s">
        <v>90</v>
      </c>
      <c r="D54" s="7" t="s">
        <v>38</v>
      </c>
      <c r="E54" s="7" t="n">
        <v>3500000</v>
      </c>
    </row>
    <row r="55" customFormat="false" ht="15" hidden="false" customHeight="false" outlineLevel="0" collapsed="false">
      <c r="A55" s="6" t="s">
        <v>88</v>
      </c>
      <c r="B55" s="7" t="s">
        <v>16</v>
      </c>
      <c r="C55" s="7" t="s">
        <v>76</v>
      </c>
      <c r="D55" s="7" t="s">
        <v>42</v>
      </c>
      <c r="E55" s="7" t="n">
        <v>700000</v>
      </c>
    </row>
    <row r="56" customFormat="false" ht="15" hidden="false" customHeight="false" outlineLevel="0" collapsed="false">
      <c r="A56" s="6" t="s">
        <v>120</v>
      </c>
      <c r="B56" s="7" t="s">
        <v>16</v>
      </c>
      <c r="C56" s="7" t="s">
        <v>83</v>
      </c>
      <c r="D56" s="7" t="s">
        <v>38</v>
      </c>
      <c r="E56" s="7" t="n">
        <v>3900000</v>
      </c>
    </row>
    <row r="57" customFormat="false" ht="15" hidden="false" customHeight="false" outlineLevel="0" collapsed="false">
      <c r="A57" s="6" t="s">
        <v>119</v>
      </c>
      <c r="B57" s="7" t="s">
        <v>19</v>
      </c>
      <c r="C57" s="7" t="s">
        <v>85</v>
      </c>
      <c r="D57" s="7" t="s">
        <v>42</v>
      </c>
      <c r="E57" s="7" t="n">
        <v>800000</v>
      </c>
    </row>
    <row r="58" customFormat="false" ht="15" hidden="false" customHeight="false" outlineLevel="0" collapsed="false">
      <c r="A58" s="6" t="s">
        <v>65</v>
      </c>
      <c r="B58" s="7" t="s">
        <v>19</v>
      </c>
      <c r="C58" s="7" t="s">
        <v>93</v>
      </c>
      <c r="D58" s="7" t="s">
        <v>40</v>
      </c>
      <c r="E58" s="7" t="n">
        <v>1600000</v>
      </c>
    </row>
    <row r="59" customFormat="false" ht="15" hidden="false" customHeight="false" outlineLevel="0" collapsed="false">
      <c r="A59" s="6" t="s">
        <v>121</v>
      </c>
      <c r="B59" s="7" t="s">
        <v>17</v>
      </c>
      <c r="C59" s="7" t="s">
        <v>78</v>
      </c>
      <c r="D59" s="7" t="s">
        <v>40</v>
      </c>
      <c r="E59" s="7" t="n">
        <v>2800000</v>
      </c>
    </row>
    <row r="60" customFormat="false" ht="15" hidden="false" customHeight="false" outlineLevel="0" collapsed="false">
      <c r="A60" s="6" t="s">
        <v>91</v>
      </c>
      <c r="B60" s="7" t="s">
        <v>17</v>
      </c>
      <c r="C60" s="7" t="s">
        <v>102</v>
      </c>
      <c r="D60" s="7" t="s">
        <v>40</v>
      </c>
      <c r="E60" s="7" t="n">
        <v>700000</v>
      </c>
    </row>
    <row r="61" customFormat="false" ht="15" hidden="false" customHeight="false" outlineLevel="0" collapsed="false">
      <c r="A61" s="6" t="s">
        <v>80</v>
      </c>
      <c r="B61" s="7" t="s">
        <v>19</v>
      </c>
      <c r="C61" s="7" t="s">
        <v>76</v>
      </c>
      <c r="D61" s="7" t="s">
        <v>38</v>
      </c>
      <c r="E61" s="7" t="n">
        <v>3700000</v>
      </c>
    </row>
    <row r="62" customFormat="false" ht="15" hidden="false" customHeight="false" outlineLevel="0" collapsed="false">
      <c r="A62" s="6" t="s">
        <v>122</v>
      </c>
      <c r="B62" s="7" t="s">
        <v>17</v>
      </c>
      <c r="C62" s="7" t="s">
        <v>90</v>
      </c>
      <c r="D62" s="7" t="s">
        <v>40</v>
      </c>
      <c r="E62" s="7" t="n">
        <v>700000</v>
      </c>
    </row>
    <row r="63" customFormat="false" ht="15" hidden="false" customHeight="false" outlineLevel="0" collapsed="false">
      <c r="A63" s="6" t="s">
        <v>58</v>
      </c>
      <c r="B63" s="7" t="s">
        <v>17</v>
      </c>
      <c r="C63" s="7" t="s">
        <v>90</v>
      </c>
      <c r="D63" s="7" t="s">
        <v>41</v>
      </c>
      <c r="E63" s="7" t="n">
        <v>3700000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5" t="s">
        <v>123</v>
      </c>
    </row>
    <row r="2" customFormat="false" ht="15" hidden="false" customHeight="false" outlineLevel="0" collapsed="false">
      <c r="A2" s="2" t="s">
        <v>124</v>
      </c>
    </row>
    <row r="3" customFormat="false" ht="15" hidden="false" customHeight="false" outlineLevel="0" collapsed="false">
      <c r="A3" s="3" t="s">
        <v>125</v>
      </c>
      <c r="B3" s="3" t="s">
        <v>126</v>
      </c>
      <c r="C3" s="3" t="s">
        <v>127</v>
      </c>
      <c r="D3" s="3" t="s">
        <v>128</v>
      </c>
    </row>
    <row r="4" customFormat="false" ht="15" hidden="false" customHeight="false" outlineLevel="0" collapsed="false">
      <c r="A4" s="4" t="s">
        <v>129</v>
      </c>
      <c r="B4" s="4" t="s">
        <v>130</v>
      </c>
      <c r="C4" s="8" t="s">
        <v>131</v>
      </c>
      <c r="D4" s="4" t="s">
        <v>132</v>
      </c>
    </row>
    <row r="5" customFormat="false" ht="15" hidden="false" customHeight="false" outlineLevel="0" collapsed="false">
      <c r="A5" s="4" t="s">
        <v>133</v>
      </c>
      <c r="B5" s="4" t="s">
        <v>134</v>
      </c>
      <c r="C5" s="8" t="s">
        <v>135</v>
      </c>
      <c r="D5" s="4" t="s">
        <v>136</v>
      </c>
    </row>
    <row r="6" customFormat="false" ht="15" hidden="false" customHeight="false" outlineLevel="0" collapsed="false">
      <c r="A6" s="4" t="s">
        <v>137</v>
      </c>
      <c r="B6" s="4" t="s">
        <v>138</v>
      </c>
      <c r="C6" s="8" t="s">
        <v>139</v>
      </c>
      <c r="D6" s="4" t="s">
        <v>140</v>
      </c>
    </row>
    <row r="7" customFormat="false" ht="15" hidden="false" customHeight="false" outlineLevel="0" collapsed="false">
      <c r="A7" s="4" t="s">
        <v>129</v>
      </c>
      <c r="B7" s="4" t="s">
        <v>130</v>
      </c>
      <c r="C7" s="8" t="s">
        <v>131</v>
      </c>
      <c r="D7" s="4" t="s">
        <v>132</v>
      </c>
    </row>
    <row r="8" customFormat="false" ht="15" hidden="false" customHeight="false" outlineLevel="0" collapsed="false">
      <c r="A8" s="4" t="s">
        <v>141</v>
      </c>
      <c r="B8" s="4" t="s">
        <v>142</v>
      </c>
      <c r="C8" s="8" t="s">
        <v>143</v>
      </c>
      <c r="D8" s="4" t="s">
        <v>144</v>
      </c>
    </row>
    <row r="9" customFormat="false" ht="15" hidden="false" customHeight="false" outlineLevel="0" collapsed="false">
      <c r="A9" s="4" t="s">
        <v>145</v>
      </c>
      <c r="B9" s="4" t="s">
        <v>146</v>
      </c>
      <c r="C9" s="8" t="s">
        <v>147</v>
      </c>
      <c r="D9" s="4" t="s">
        <v>148</v>
      </c>
    </row>
    <row r="10" customFormat="false" ht="15" hidden="false" customHeight="false" outlineLevel="0" collapsed="false">
      <c r="A10" s="4" t="s">
        <v>133</v>
      </c>
      <c r="B10" s="4" t="s">
        <v>134</v>
      </c>
      <c r="C10" s="8" t="s">
        <v>135</v>
      </c>
      <c r="D10" s="4" t="s">
        <v>136</v>
      </c>
    </row>
    <row r="11" customFormat="false" ht="15" hidden="false" customHeight="false" outlineLevel="0" collapsed="false">
      <c r="A11" s="4" t="s">
        <v>149</v>
      </c>
      <c r="B11" s="4" t="s">
        <v>150</v>
      </c>
      <c r="C11" s="8" t="s">
        <v>151</v>
      </c>
      <c r="D11" s="4" t="s">
        <v>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2026-07-07T16:28:06Z</dcterms:created>
  <dc:creator>openpyxl</dc:creator>
  <dc:description/>
  <dc:language>en-US</dc:language>
  <cp:lastModifiedBy/>
  <dcterms:modified xsi:type="dcterms:W3CDTF">2026-07-07T16:28:06Z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